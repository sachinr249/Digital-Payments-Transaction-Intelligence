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7111D58F-674D-4021-A3DA-A2493E2A88C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shboard" sheetId="1" r:id="rId1"/>
    <sheet name="Comparison_kmeans_quartiles" sheetId="3" r:id="rId2"/>
    <sheet name="Forcasting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<sst xmlns="http://schemas.openxmlformats.org/spreadsheetml/2006/main" count="52" uniqueCount="23">
  <si>
    <t xml:space="preserve">                                                  RFM Customer Segmentation | Validation Report</t>
  </si>
  <si>
    <t>Customers</t>
  </si>
  <si>
    <t xml:space="preserve">      Selected k</t>
  </si>
  <si>
    <t>K-Means business segment profile (selected model)</t>
  </si>
  <si>
    <t>Segment</t>
  </si>
  <si>
    <t>Share</t>
  </si>
  <si>
    <t>Avg recency (days)</t>
  </si>
  <si>
    <t>Avg frequency</t>
  </si>
  <si>
    <t>Avg monetary</t>
  </si>
  <si>
    <t>Churn rate</t>
  </si>
  <si>
    <t>kmeans_segment</t>
  </si>
  <si>
    <t>count</t>
  </si>
  <si>
    <t>VIP</t>
  </si>
  <si>
    <t>At Risk</t>
  </si>
  <si>
    <t>New &amp; Promising</t>
  </si>
  <si>
    <t>Dormant</t>
  </si>
  <si>
    <t xml:space="preserve">Rule Based Segmentation </t>
  </si>
  <si>
    <t>segment</t>
  </si>
  <si>
    <t>VIP / Champions</t>
  </si>
  <si>
    <t>Cross-validation: rule-based quartiles vs. K-Means</t>
  </si>
  <si>
    <t>Customer count crosswalk</t>
  </si>
  <si>
    <t>rule_segment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</si>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</sst>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sz val="11"/>
      <name val="Carlito"/>
    </font>
    <font>
      <b/>
      <sz val="11"/>
      <color rgb="FF27545D"/>
      <name val="Carlito"/>
    </font>
    <font>
      <b/>
      <sz val="14"/>
      <color rgb="FF0F4C5C"/>
      <name val="Carlito"/>
    </font>
    <font>
      <b/>
      <sz val="12"/>
      <color rgb="FF0F4C5C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5C"/>
        <bgColor rgb="FF000000"/>
      </patternFill>
    </fill>
    <fill>
      <patternFill patternType="solid">
        <fgColor rgb="FFE7F2F3"/>
        <bgColor rgb="FF000000"/>
      </patternFill>
    </fill>
    <fill>
      <patternFill patternType="solid">
        <fgColor rgb="FF15616D"/>
        <bgColor rgb="FF000000"/>
      </patternFill>
    </fill>
  </fills>
  <borders count="8">
    <border>
      <left/>
      <right/>
      <top/>
      <bottom/>
      <diagonal/>
    </border>
    <border>
      <left style="thin">
        <color rgb="FFA7BBC3"/>
      </left>
      <right style="thin">
        <color rgb="FFA7BBC3"/>
      </right>
      <top style="thin">
        <color rgb="FFA7BBC3"/>
      </top>
      <bottom/>
      <diagonal/>
    </border>
    <border>
      <left style="thin">
        <color rgb="FFA7BBC3"/>
      </left>
      <right style="thin">
        <color rgb="FFA7BBC3"/>
      </right>
      <top/>
      <bottom style="thin">
        <color rgb="FFA7BBC3"/>
      </bottom>
      <diagonal/>
    </border>
    <border>
      <left style="thin">
        <color rgb="FFD4E2E6"/>
      </left>
      <right/>
      <top style="thin">
        <color rgb="FFD4E2E6"/>
      </top>
      <bottom style="thin">
        <color rgb="FFA7BBC3"/>
      </bottom>
      <diagonal/>
    </border>
    <border>
      <left/>
      <right/>
      <top style="thin">
        <color rgb="FFD4E2E6"/>
      </top>
      <bottom style="thin">
        <color rgb="FFA7BBC3"/>
      </bottom>
      <diagonal/>
    </border>
    <border>
      <left/>
      <right style="thin">
        <color rgb="FFD4E2E6"/>
      </right>
      <top style="thin">
        <color rgb="FFD4E2E6"/>
      </top>
      <bottom style="thin">
        <color rgb="FFA7BBC3"/>
      </bottom>
      <diagonal/>
    </border>
    <border>
      <left style="thin">
        <color rgb="FFD4E2E6"/>
      </left>
      <right/>
      <top/>
      <bottom/>
      <diagonal/>
    </border>
    <border>
      <left style="thin">
        <color rgb="FFD4E2E6"/>
      </left>
      <right/>
      <top/>
      <bottom style="thin">
        <color rgb="FFD4E2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0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2" fontId="0" fillId="0" borderId="0" xfId="0" applyNumberFormat="1"/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 by K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Dashboard!$K$6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Dashboard!$J$7:$J$10</c:f>
              <c:strCache>
                <c:ptCount val="4"/>
                <c:pt idx="0">
                  <c:v>At Risk</c:v>
                </c:pt>
                <c:pt idx="1">
                  <c:v>New &amp; Promising</c:v>
                </c:pt>
                <c:pt idx="2">
                  <c:v>Dormant</c:v>
                </c:pt>
                <c:pt idx="3">
                  <c:v>VIP</c:v>
                </c:pt>
              </c:strCache>
            </c:strRef>
          </c:cat>
          <c:val>
            <c:numRef>
              <c:f>Dashboard!$K$7:$K$10</c:f>
              <c:numCache>
                <c:formatCode>General</c:formatCode>
                <c:ptCount val="4"/>
                <c:pt idx="0">
                  <c:v>8485</c:v>
                </c:pt>
                <c:pt idx="1">
                  <c:v>8185</c:v>
                </c:pt>
                <c:pt idx="2">
                  <c:v>3995</c:v>
                </c:pt>
                <c:pt idx="3">
                  <c:v>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5-41E9-92DA-E8FBE383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9918472"/>
        <c:axId val="1969920520"/>
      </c:barChart>
      <c:catAx>
        <c:axId val="196991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20520"/>
        <c:crosses val="autoZero"/>
        <c:auto val="1"/>
        <c:lblAlgn val="ctr"/>
        <c:lblOffset val="100"/>
        <c:noMultiLvlLbl val="0"/>
      </c:catAx>
      <c:valAx>
        <c:axId val="196992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18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 by Rule 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Dashboard!$K$17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Dashboard!$J$18:$J$21</c:f>
              <c:strCache>
                <c:ptCount val="4"/>
                <c:pt idx="0">
                  <c:v>VIP / Champions</c:v>
                </c:pt>
                <c:pt idx="1">
                  <c:v>Dormant</c:v>
                </c:pt>
                <c:pt idx="2">
                  <c:v>At Risk</c:v>
                </c:pt>
                <c:pt idx="3">
                  <c:v>New &amp; Promising</c:v>
                </c:pt>
              </c:strCache>
            </c:strRef>
          </c:cat>
          <c:val>
            <c:numRef>
              <c:f>Dashboard!$K$18:$K$21</c:f>
              <c:numCache>
                <c:formatCode>General</c:formatCode>
                <c:ptCount val="4"/>
                <c:pt idx="0">
                  <c:v>8827</c:v>
                </c:pt>
                <c:pt idx="1">
                  <c:v>8725</c:v>
                </c:pt>
                <c:pt idx="2">
                  <c:v>3506</c:v>
                </c:pt>
                <c:pt idx="3">
                  <c:v>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8-4C5D-9686-4C2AF78B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6014728"/>
        <c:axId val="1786029064"/>
      </c:barChart>
      <c:catAx>
        <c:axId val="178601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29064"/>
        <c:crosses val="autoZero"/>
        <c:auto val="1"/>
        <c:lblAlgn val="ctr"/>
        <c:lblOffset val="100"/>
        <c:noMultiLvlLbl val="0"/>
      </c:catAx>
      <c:valAx>
        <c:axId val="17860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1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</xdr:row>
      <xdr:rowOff>19050</xdr:rowOff>
    </xdr:from>
    <xdr:to>
      <xdr:col>12</xdr:col>
      <xdr:colOff>1114425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CF4F8-2499-9D79-0C9C-1FAA2E9DA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11</xdr:row>
      <xdr:rowOff>114300</xdr:rowOff>
    </xdr:from>
    <xdr:to>
      <xdr:col>12</xdr:col>
      <xdr:colOff>1095375</xdr:colOff>
      <xdr:row>23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8BF7ED-B12D-F9F4-F148-CFD5A9576562}"/>
            </a:ext>
            <a:ext uri="{147F2762-F138-4A5C-976F-8EAC2B608ADB}">
              <a16:predDERef xmlns:a16="http://schemas.microsoft.com/office/drawing/2014/main" pred="{950CF4F8-2499-9D79-0C9C-1FAA2E9DA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266700</xdr:colOff>
      <xdr:row>31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16435-932C-E17F-AD36-4961035D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0700" cy="5991225"/>
        </a:xfrm>
        <a:prstGeom prst="rect">
          <a:avLst/>
        </a:prstGeom>
      </xdr:spPr>
    </xdr:pic>
    <xdr:clientData/>
  </xdr:twoCellAnchor>
  <xdr:twoCellAnchor editAs="oneCell">
    <xdr:from>
      <xdr:col>15</xdr:col>
      <xdr:colOff>257175</xdr:colOff>
      <xdr:row>0</xdr:row>
      <xdr:rowOff>0</xdr:rowOff>
    </xdr:from>
    <xdr:to>
      <xdr:col>27</xdr:col>
      <xdr:colOff>19050</xdr:colOff>
      <xdr:row>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C1F19-329F-4EE0-F5B3-7582AAE40BBA}"/>
            </a:ext>
            <a:ext uri="{147F2762-F138-4A5C-976F-8EAC2B608ADB}">
              <a16:predDERef xmlns:a16="http://schemas.microsoft.com/office/drawing/2014/main" pred="{EB816435-932C-E17F-AD36-4961035D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1175" y="0"/>
          <a:ext cx="7077075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opLeftCell="A16" workbookViewId="0">
      <selection activeCell="E21" sqref="E21"/>
    </sheetView>
  </sheetViews>
  <sheetFormatPr defaultRowHeight="15"/>
  <cols>
    <col min="1" max="1" width="20.5703125" customWidth="1"/>
    <col min="2" max="2" width="17.42578125" customWidth="1"/>
    <col min="3" max="3" width="21.42578125" customWidth="1"/>
    <col min="4" max="4" width="14.28515625" customWidth="1"/>
    <col min="5" max="5" width="12.5703125" customWidth="1"/>
    <col min="6" max="6" width="14" customWidth="1"/>
    <col min="7" max="7" width="14.140625" customWidth="1"/>
    <col min="10" max="10" width="19" customWidth="1"/>
    <col min="13" max="13" width="17" customWidth="1"/>
  </cols>
  <sheetData>
    <row r="1" spans="1:18" ht="2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</row>
    <row r="2" spans="1:18">
      <c r="A2" s="6" t="s">
        <v>1</v>
      </c>
      <c r="B2" s="1"/>
      <c r="C2" s="6" t="s">
        <v>2</v>
      </c>
      <c r="D2" s="1"/>
      <c r="F2" s="1"/>
      <c r="J2" s="1"/>
      <c r="K2" s="1"/>
      <c r="L2" s="1"/>
      <c r="M2" s="1"/>
      <c r="N2" s="1"/>
      <c r="O2" s="1"/>
      <c r="P2" s="1"/>
      <c r="Q2" s="1"/>
      <c r="R2" s="1"/>
    </row>
    <row r="3" spans="1:18" ht="18">
      <c r="A3" s="7">
        <v>25000</v>
      </c>
      <c r="B3" s="1"/>
      <c r="C3" s="12">
        <v>4</v>
      </c>
      <c r="D3" s="1"/>
      <c r="F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>
      <c r="A5" s="2" t="s">
        <v>3</v>
      </c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3">
      <c r="A6" s="9" t="s">
        <v>4</v>
      </c>
      <c r="B6" s="8" t="s">
        <v>1</v>
      </c>
      <c r="C6" s="8" t="s">
        <v>5</v>
      </c>
      <c r="D6" s="8" t="s">
        <v>6</v>
      </c>
      <c r="E6" s="8" t="s">
        <v>7</v>
      </c>
      <c r="F6" s="8" t="s">
        <v>8</v>
      </c>
      <c r="G6" s="10" t="s">
        <v>9</v>
      </c>
      <c r="H6" s="1"/>
      <c r="I6" s="1"/>
      <c r="J6" t="s">
        <v>10</v>
      </c>
      <c r="K6" t="s">
        <v>11</v>
      </c>
      <c r="L6" s="1"/>
      <c r="M6" s="1"/>
      <c r="N6" s="1"/>
      <c r="O6" s="1"/>
      <c r="P6" s="1"/>
      <c r="Q6" s="1"/>
      <c r="R6" s="1"/>
    </row>
    <row r="7" spans="1:18">
      <c r="A7" s="4" t="s">
        <v>12</v>
      </c>
      <c r="B7">
        <v>3798</v>
      </c>
      <c r="C7" s="11">
        <v>0.155</v>
      </c>
      <c r="D7" s="13">
        <v>3.8733543970510702</v>
      </c>
      <c r="E7" s="13">
        <v>149.53765139547099</v>
      </c>
      <c r="F7" s="13">
        <v>80212.605063191106</v>
      </c>
      <c r="G7" s="11">
        <v>1.2E-2</v>
      </c>
      <c r="H7" s="1"/>
      <c r="I7" s="1"/>
      <c r="J7" t="s">
        <v>13</v>
      </c>
      <c r="K7">
        <v>8485</v>
      </c>
      <c r="R7" s="1"/>
    </row>
    <row r="8" spans="1:18">
      <c r="A8" s="4" t="s">
        <v>14</v>
      </c>
      <c r="B8">
        <v>8185</v>
      </c>
      <c r="C8" s="11">
        <v>0.33500000000000002</v>
      </c>
      <c r="D8" s="13">
        <v>15.029932803909499</v>
      </c>
      <c r="E8" s="13">
        <v>32.162981062919897</v>
      </c>
      <c r="F8" s="13">
        <v>17235.090701282799</v>
      </c>
      <c r="G8" s="11">
        <v>8.7999999999999995E-2</v>
      </c>
      <c r="H8" s="1"/>
      <c r="I8" s="1"/>
      <c r="J8" t="s">
        <v>14</v>
      </c>
      <c r="K8">
        <v>8185</v>
      </c>
      <c r="M8" s="11"/>
      <c r="Q8" s="11"/>
      <c r="R8" s="1"/>
    </row>
    <row r="9" spans="1:18">
      <c r="A9" s="4" t="s">
        <v>13</v>
      </c>
      <c r="B9">
        <v>8485</v>
      </c>
      <c r="C9" s="11">
        <v>0.34699999999999998</v>
      </c>
      <c r="D9" s="13">
        <v>57.258456098998202</v>
      </c>
      <c r="E9" s="13">
        <v>11.2651738361814</v>
      </c>
      <c r="F9" s="13">
        <v>5864.3589664113097</v>
      </c>
      <c r="G9" s="11">
        <v>0.312</v>
      </c>
      <c r="H9" s="1"/>
      <c r="I9" s="1"/>
      <c r="J9" t="s">
        <v>15</v>
      </c>
      <c r="K9">
        <v>3995</v>
      </c>
      <c r="M9" s="11"/>
      <c r="Q9" s="11"/>
      <c r="R9" s="1"/>
    </row>
    <row r="10" spans="1:18">
      <c r="A10" s="5" t="s">
        <v>15</v>
      </c>
      <c r="B10">
        <v>3995</v>
      </c>
      <c r="C10" s="11">
        <v>0.16300000000000001</v>
      </c>
      <c r="D10" s="13">
        <v>227.51414267834701</v>
      </c>
      <c r="E10" s="13">
        <v>3.1914893617021201</v>
      </c>
      <c r="F10" s="13">
        <v>1380.80504630788</v>
      </c>
      <c r="G10" s="11">
        <v>0.58699999999999997</v>
      </c>
      <c r="H10" s="11"/>
      <c r="I10" s="1"/>
      <c r="J10" t="s">
        <v>12</v>
      </c>
      <c r="K10">
        <v>3798</v>
      </c>
      <c r="M10" s="11"/>
      <c r="Q10" s="11"/>
      <c r="R10" s="1"/>
    </row>
    <row r="11" spans="1:18">
      <c r="A11" s="1"/>
      <c r="B11" s="1"/>
      <c r="C11" s="1"/>
      <c r="D11" s="1"/>
      <c r="E11" s="1"/>
      <c r="F11" s="1"/>
      <c r="G11" s="1"/>
      <c r="H11" s="1"/>
      <c r="I11" s="1"/>
      <c r="J11" s="1"/>
      <c r="M11" s="11"/>
      <c r="Q11" s="11"/>
      <c r="R11" s="1"/>
    </row>
    <row r="12" spans="1:18">
      <c r="A12" s="1"/>
      <c r="B12" s="1"/>
      <c r="C12" s="1"/>
      <c r="D12" s="1"/>
      <c r="E12" s="1"/>
      <c r="F12" s="1"/>
      <c r="G12" s="1"/>
      <c r="H12" s="1"/>
      <c r="I12" s="1"/>
      <c r="J12" s="1"/>
      <c r="M12" s="11"/>
      <c r="Q12" s="1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M13" s="11"/>
      <c r="Q13" s="11"/>
      <c r="R13" s="1"/>
    </row>
    <row r="14" spans="1:18" ht="15.75">
      <c r="A14" s="2" t="s">
        <v>16</v>
      </c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33">
      <c r="A15" s="9" t="s">
        <v>4</v>
      </c>
      <c r="B15" s="8" t="s">
        <v>1</v>
      </c>
      <c r="C15" s="8" t="s">
        <v>5</v>
      </c>
      <c r="D15" s="8" t="s">
        <v>6</v>
      </c>
      <c r="E15" s="8" t="s">
        <v>7</v>
      </c>
      <c r="F15" s="8" t="s">
        <v>8</v>
      </c>
      <c r="G15" s="10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 customHeight="1">
      <c r="A16" s="4" t="s">
        <v>12</v>
      </c>
      <c r="B16">
        <v>8827</v>
      </c>
      <c r="C16" s="11">
        <v>0.36099999999999999</v>
      </c>
      <c r="D16" s="13">
        <v>7.4141837543899403</v>
      </c>
      <c r="E16" s="13">
        <v>84.586042823156205</v>
      </c>
      <c r="F16" s="13">
        <v>45291.678186246703</v>
      </c>
      <c r="G16" s="11">
        <v>5.2999999999999999E-2</v>
      </c>
      <c r="I16" s="1"/>
      <c r="J16" s="1"/>
      <c r="M16" s="11"/>
      <c r="Q16" s="11"/>
      <c r="R16" s="1"/>
    </row>
    <row r="17" spans="1:18" ht="15" customHeight="1">
      <c r="A17" s="4" t="s">
        <v>14</v>
      </c>
      <c r="B17">
        <v>3405</v>
      </c>
      <c r="C17" s="11">
        <v>0.13900000000000001</v>
      </c>
      <c r="D17" s="13">
        <v>10.7577092511013</v>
      </c>
      <c r="E17" s="13">
        <v>11.5644640234948</v>
      </c>
      <c r="F17" s="13">
        <v>5752.1743964757698</v>
      </c>
      <c r="G17" s="11">
        <v>0.13900000000000001</v>
      </c>
      <c r="I17" s="1"/>
      <c r="J17" t="s">
        <v>17</v>
      </c>
      <c r="K17" t="s">
        <v>11</v>
      </c>
      <c r="M17" s="11"/>
      <c r="Q17" s="11"/>
      <c r="R17" s="1"/>
    </row>
    <row r="18" spans="1:18" ht="15" customHeight="1">
      <c r="A18" s="4" t="s">
        <v>13</v>
      </c>
      <c r="B18">
        <v>8725</v>
      </c>
      <c r="C18" s="11">
        <v>0.35699999999999998</v>
      </c>
      <c r="D18" s="13">
        <v>143.85157593123199</v>
      </c>
      <c r="E18" s="13">
        <v>6.7487679083094498</v>
      </c>
      <c r="F18" s="13">
        <v>3239.6878395415401</v>
      </c>
      <c r="G18" s="11">
        <v>0.76100000000000001</v>
      </c>
      <c r="I18" s="1"/>
      <c r="J18" t="s">
        <v>18</v>
      </c>
      <c r="K18">
        <v>8827</v>
      </c>
      <c r="M18" s="11"/>
      <c r="Q18" s="11"/>
      <c r="R18" s="1"/>
    </row>
    <row r="19" spans="1:18" ht="15" customHeight="1">
      <c r="A19" s="5" t="s">
        <v>15</v>
      </c>
      <c r="B19">
        <v>3506</v>
      </c>
      <c r="C19" s="11">
        <v>0.14299999999999999</v>
      </c>
      <c r="D19" s="13">
        <v>50.002281802623997</v>
      </c>
      <c r="E19" s="13">
        <v>26.9914432401597</v>
      </c>
      <c r="F19" s="13">
        <v>15216.776908157401</v>
      </c>
      <c r="G19" s="11">
        <v>4.8000000000000001E-2</v>
      </c>
      <c r="I19" s="1"/>
      <c r="J19" t="s">
        <v>15</v>
      </c>
      <c r="K19">
        <v>8725</v>
      </c>
      <c r="M19" s="11"/>
      <c r="Q19" s="11"/>
      <c r="R19" s="1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t="s">
        <v>13</v>
      </c>
      <c r="K20">
        <v>3506</v>
      </c>
      <c r="L20" s="1"/>
      <c r="M20" s="1"/>
      <c r="N20" s="1"/>
      <c r="O20" s="1"/>
      <c r="P20" s="1"/>
      <c r="Q20" s="1"/>
      <c r="R20" s="1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t="s">
        <v>14</v>
      </c>
      <c r="K21">
        <v>3405</v>
      </c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C856-1664-40EC-8A06-47D9CA2CB4A6}">
  <dimension ref="A1:Q9"/>
  <sheetViews>
    <sheetView tabSelected="1" workbookViewId="0">
      <selection activeCell="E15" sqref="E15"/>
    </sheetView>
  </sheetViews>
  <sheetFormatPr defaultRowHeight="15"/>
  <cols>
    <col min="2" max="2" width="24.7109375" customWidth="1"/>
    <col min="3" max="3" width="16.28515625" customWidth="1"/>
    <col min="4" max="4" width="15.5703125" customWidth="1"/>
    <col min="5" max="5" width="17.140625" customWidth="1"/>
    <col min="6" max="6" width="16.28515625" customWidth="1"/>
    <col min="7" max="7" width="19.140625" customWidth="1"/>
    <col min="11" max="11" width="26.5703125" customWidth="1"/>
  </cols>
  <sheetData>
    <row r="1" spans="1:17" ht="46.5" customHeight="1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</row>
    <row r="2" spans="1:17" ht="28.5" customHeight="1"/>
    <row r="3" spans="1:17" ht="15.75">
      <c r="B3" s="2" t="s">
        <v>20</v>
      </c>
      <c r="C3" s="3"/>
      <c r="D3" s="1"/>
      <c r="E3" s="1"/>
      <c r="F3" s="1"/>
    </row>
    <row r="4" spans="1:17" ht="33">
      <c r="B4" s="14" t="s">
        <v>21</v>
      </c>
      <c r="C4" s="15" t="s">
        <v>13</v>
      </c>
      <c r="D4" s="15" t="s">
        <v>15</v>
      </c>
      <c r="E4" s="15" t="s">
        <v>14</v>
      </c>
      <c r="F4" s="16" t="s">
        <v>12</v>
      </c>
      <c r="G4" s="16" t="s">
        <v>22</v>
      </c>
    </row>
    <row r="5" spans="1:17">
      <c r="B5" s="4" t="s">
        <v>13</v>
      </c>
      <c r="C5">
        <v>1770</v>
      </c>
      <c r="D5">
        <v>3</v>
      </c>
      <c r="E5">
        <v>1717</v>
      </c>
      <c r="F5">
        <v>16</v>
      </c>
      <c r="G5">
        <v>3506</v>
      </c>
      <c r="M5" s="11"/>
      <c r="Q5" s="11"/>
    </row>
    <row r="6" spans="1:17">
      <c r="B6" s="4" t="s">
        <v>15</v>
      </c>
      <c r="C6">
        <v>4835</v>
      </c>
      <c r="D6">
        <v>3890</v>
      </c>
      <c r="E6">
        <v>0</v>
      </c>
      <c r="F6">
        <v>0</v>
      </c>
      <c r="G6">
        <v>8725</v>
      </c>
      <c r="M6" s="11"/>
      <c r="Q6" s="11"/>
    </row>
    <row r="7" spans="1:17">
      <c r="B7" s="4" t="s">
        <v>14</v>
      </c>
      <c r="C7">
        <v>1876</v>
      </c>
      <c r="D7">
        <v>102</v>
      </c>
      <c r="E7">
        <v>1427</v>
      </c>
      <c r="F7">
        <v>0</v>
      </c>
      <c r="G7">
        <v>3405</v>
      </c>
      <c r="M7" s="11"/>
      <c r="Q7" s="11"/>
    </row>
    <row r="8" spans="1:17">
      <c r="B8" s="5" t="s">
        <v>12</v>
      </c>
      <c r="C8">
        <v>4</v>
      </c>
      <c r="D8">
        <v>0</v>
      </c>
      <c r="E8">
        <v>5041</v>
      </c>
      <c r="F8">
        <v>3782</v>
      </c>
      <c r="G8">
        <v>8827</v>
      </c>
      <c r="M8" s="11"/>
      <c r="Q8" s="11"/>
    </row>
    <row r="9" spans="1:17">
      <c r="B9" s="1" t="s">
        <v>22</v>
      </c>
      <c r="C9">
        <v>8485</v>
      </c>
      <c r="D9">
        <v>3995</v>
      </c>
      <c r="E9">
        <v>8185</v>
      </c>
      <c r="F9">
        <v>3798</v>
      </c>
      <c r="G9">
        <v>24463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8228-4B14-4973-8F39-2ADA2FDD4BF9}">
  <dimension ref="A1"/>
  <sheetViews>
    <sheetView workbookViewId="0">
      <selection activeCell="Q34" sqref="Q26:R34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2026-08-13T17:39:37Z</dcterms:created>
  <dcterms:modified xsi:type="dcterms:W3CDTF">2026-08-27T10:56:38Z</dcterms:modified>
  <cp:category/>
  <cp:contentStatus/>
</cp:coreProperties>
</file>